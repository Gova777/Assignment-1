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govar\Downloads\"/>
    </mc:Choice>
  </mc:AlternateContent>
  <xr:revisionPtr revIDLastSave="0" documentId="13_ncr:1_{15680CFD-5321-414C-A5DC-74426644DBB9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Instructions" sheetId="1" r:id="rId1"/>
    <sheet name="Dataset" sheetId="2" r:id="rId2"/>
  </sheets>
  <definedNames>
    <definedName name="_xlnm._FilterDatabase" localSheetId="1" hidden="1">Dataset!$A$1:$L$35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6" roundtripDataChecksum="NTpr+guxoqlOKfG+TiLfpEDaEvUEuMLej7q+ZEqyTWs="/>
    </ext>
  </extLst>
</workbook>
</file>

<file path=xl/calcChain.xml><?xml version="1.0" encoding="utf-8"?>
<calcChain xmlns="http://schemas.openxmlformats.org/spreadsheetml/2006/main">
  <c r="J3" i="2" l="1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2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2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2" i="2"/>
  <c r="L35" i="2"/>
  <c r="L31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2" i="2"/>
  <c r="L23" i="2"/>
  <c r="L19" i="2"/>
  <c r="L10" i="2"/>
  <c r="L14" i="2"/>
  <c r="L6" i="2"/>
</calcChain>
</file>

<file path=xl/sharedStrings.xml><?xml version="1.0" encoding="utf-8"?>
<sst xmlns="http://schemas.openxmlformats.org/spreadsheetml/2006/main" count="179" uniqueCount="114">
  <si>
    <t>Perform the following in the dataset from the 'Dataset' sheet.</t>
  </si>
  <si>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</si>
  <si>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</si>
  <si>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</si>
  <si>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</si>
  <si>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</si>
  <si>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</si>
  <si>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</si>
  <si>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</si>
  <si>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</si>
  <si>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1) Sum, Count, Average:</t>
  </si>
  <si>
    <t>Electronics</t>
  </si>
  <si>
    <t>15-FEB-US</t>
  </si>
  <si>
    <t>Sneakers</t>
  </si>
  <si>
    <t>Nike</t>
  </si>
  <si>
    <t>Fashion</t>
  </si>
  <si>
    <t>• What is the total price of all products in the dataset?</t>
  </si>
  <si>
    <t>03-MAR-US</t>
  </si>
  <si>
    <t>Coffee Maker</t>
  </si>
  <si>
    <t>Keurig</t>
  </si>
  <si>
    <t>Kitchen</t>
  </si>
  <si>
    <t>11-APR-US</t>
  </si>
  <si>
    <t>Smartphone</t>
  </si>
  <si>
    <t>Samsung</t>
  </si>
  <si>
    <t>• How many products are there in the dataset?</t>
  </si>
  <si>
    <t>22-MAY-US</t>
  </si>
  <si>
    <t>Backpack</t>
  </si>
  <si>
    <t>North Face</t>
  </si>
  <si>
    <t>Outdoor</t>
  </si>
  <si>
    <t>• Calculate the average price of the products.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</si>
  <si>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</si>
  <si>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</si>
  <si>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</si>
  <si>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</si>
  <si>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</si>
  <si>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</si>
  <si>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</si>
  <si>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</si>
  <si>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2) Min and Max:</t>
  </si>
  <si>
    <t>Ninja</t>
  </si>
  <si>
    <t>05-SEP-UK</t>
  </si>
  <si>
    <t>Tablet</t>
  </si>
  <si>
    <t>Apple</t>
  </si>
  <si>
    <t>14-OCT-UK</t>
  </si>
  <si>
    <t>Hiking Boots</t>
  </si>
  <si>
    <t>Timberland</t>
  </si>
  <si>
    <t>17-JUN-IN</t>
  </si>
  <si>
    <t>HP</t>
  </si>
  <si>
    <t>• Determine the minimum price among all products.</t>
  </si>
  <si>
    <t>25-NOV-AU</t>
  </si>
  <si>
    <t>08-DEC-DE</t>
  </si>
  <si>
    <t>Nespresso</t>
  </si>
  <si>
    <t>18-FEB-CA</t>
  </si>
  <si>
    <t>Smartwatch</t>
  </si>
  <si>
    <t>Fitbit</t>
  </si>
  <si>
    <t>• Find the maximum price among all products.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</si>
  <si>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</si>
  <si>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</si>
  <si>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</si>
  <si>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</si>
  <si>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</si>
  <si>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</si>
  <si>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</si>
  <si>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</si>
  <si>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</si>
  <si>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</si>
  <si>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</si>
  <si>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</si>
  <si>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</si>
  <si>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</si>
  <si>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</si>
  <si>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</si>
  <si>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</si>
  <si>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</si>
  <si>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</si>
  <si>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3) IF Function: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</si>
  <si>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</si>
  <si>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</si>
  <si>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</si>
  <si>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</si>
  <si>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</si>
  <si>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</si>
  <si>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</si>
  <si>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• Using an IF function, create a new column named Price Range to categorize products with a price greater than or equal to $500 as 'High Price' and others as 'Standard Price'.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</si>
  <si>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</si>
  <si>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</si>
  <si>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</si>
  <si>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</si>
  <si>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</si>
  <si>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</si>
  <si>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</si>
  <si>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</si>
  <si>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</si>
  <si>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</si>
  <si>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</si>
  <si>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</si>
  <si>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</si>
  <si>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4) SUMIF and COUNTIF:</t>
  </si>
  <si>
    <t>02-DEC-CA</t>
  </si>
  <si>
    <t>Jeans</t>
  </si>
  <si>
    <t>Levi's</t>
  </si>
  <si>
    <t>09-JUL-FR</t>
  </si>
  <si>
    <t>Watch</t>
  </si>
  <si>
    <t>Casio</t>
  </si>
  <si>
    <t>• Calculate the total price for products in the 'Electronics' category using the SUMIF function.</t>
  </si>
  <si>
    <t>• Determine the count of products with a price less than $100 using the COUNTIF function.</t>
  </si>
  <si>
    <t>5) Text Formatting - LEFT, RIGHT, MID:</t>
  </si>
  <si>
    <t>• Create a new column named Day with the first 2 characters of each 'Product ID' using the LEFT function.</t>
  </si>
  <si>
    <t>• Create a new column named Country Code by extracting the last 2 characters from the 'Product ID' column using the RIGHT function.</t>
  </si>
  <si>
    <t>• Create a new column named Month by extracting 4th to 6th characters from the 'Product ID' column using the MID function.</t>
  </si>
  <si>
    <t>price range</t>
  </si>
  <si>
    <t>Day</t>
  </si>
  <si>
    <t>Country code</t>
  </si>
  <si>
    <t>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</si>
</sst>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b/>
      <sz val="11"/>
      <color theme="1"/>
      <name val="Arial"/>
    </font>
    <font>
      <sz val="10"/>
      <color theme="1"/>
      <name val="Arial"/>
    </font>
    <font>
      <b/>
      <sz val="10"/>
      <color theme="1"/>
      <name val="Arial"/>
    </font>
    <font>
      <b/>
      <sz val="12"/>
      <color theme="1"/>
      <name val="Times New Roman"/>
    </font>
    <font>
      <sz val="12"/>
      <color theme="1"/>
      <name val="Times New Roman"/>
    </font>
    <font>
      <sz val="10"/>
      <color theme="1"/>
      <name val="Arial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/>
    </xf>
    <xf numFmtId="0" fontId="2" fillId="0" borderId="0" xfId="0" applyFont="1" applyAlignment="1">
      <alignment horizontal="right"/>
    </xf>
    <xf numFmtId="0" fontId="4" fillId="0" borderId="0" xfId="0" applyFont="1"/>
    <xf numFmtId="0" fontId="2" fillId="3" borderId="0" xfId="0" applyFont="1" applyFill="1"/>
    <xf numFmtId="0" fontId="2" fillId="3" borderId="0" xfId="0" applyFont="1" applyFill="1" applyAlignment="1">
      <alignment horizontal="right"/>
    </xf>
    <xf numFmtId="0" fontId="5" fillId="0" borderId="0" xfId="0" applyFont="1"/>
    <xf numFmtId="0" fontId="6" fillId="0" borderId="0" xfId="0" applyFont="1"/>
    <xf numFmtId="2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0"/>
  <sheetViews>
    <sheetView topLeftCell="B7" workbookViewId="0">
      <selection activeCell="C21" sqref="C21:L22"/>
    </sheetView>
  </sheetViews>
  <sheetFormatPr defaultColWidth="12.6328125" defaultRowHeight="15" customHeight="1" x14ac:dyDescent="0.25"/>
  <cols>
    <col min="1" max="6" width="12.6328125" customWidth="1"/>
  </cols>
  <sheetData>
    <row r="1" spans="1:26" ht="15.75" customHeight="1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75" customHeight="1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 x14ac:dyDescent="0.3">
      <c r="A3" s="2"/>
      <c r="B3" s="5" t="s">
        <v>10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75" customHeight="1" x14ac:dyDescent="0.35">
      <c r="A4" s="2"/>
      <c r="B4" s="2"/>
      <c r="C4" s="8" t="s">
        <v>16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75" customHeight="1" x14ac:dyDescent="0.35">
      <c r="A5" s="2"/>
      <c r="B5" s="2"/>
      <c r="C5" s="8" t="s">
        <v>24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75" customHeight="1" x14ac:dyDescent="0.35">
      <c r="A6" s="2"/>
      <c r="B6" s="2"/>
      <c r="C6" s="8" t="s">
        <v>29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.75" customHeight="1" x14ac:dyDescent="0.2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75" customHeight="1" x14ac:dyDescent="0.3">
      <c r="A8" s="2"/>
      <c r="B8" s="5" t="s">
        <v>38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.75" customHeight="1" x14ac:dyDescent="0.35">
      <c r="A9" s="2"/>
      <c r="B9" s="2"/>
      <c r="C9" s="8" t="s">
        <v>48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75" customHeight="1" x14ac:dyDescent="0.35">
      <c r="A10" s="2"/>
      <c r="B10" s="2"/>
      <c r="C10" s="8" t="s">
        <v>55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.75" customHeight="1" x14ac:dyDescent="0.2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75" customHeight="1" x14ac:dyDescent="0.3">
      <c r="A12" s="2"/>
      <c r="B12" s="5" t="s">
        <v>75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 x14ac:dyDescent="0.35">
      <c r="A13" s="2"/>
      <c r="B13" s="2"/>
      <c r="C13" s="8" t="s">
        <v>83</v>
      </c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 x14ac:dyDescent="0.3">
      <c r="A15" s="2"/>
      <c r="B15" s="5" t="s">
        <v>97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 x14ac:dyDescent="0.35">
      <c r="A16" s="2"/>
      <c r="B16" s="2"/>
      <c r="C16" s="8" t="s">
        <v>104</v>
      </c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 x14ac:dyDescent="0.35">
      <c r="A17" s="2"/>
      <c r="B17" s="2"/>
      <c r="C17" s="8" t="s">
        <v>105</v>
      </c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 x14ac:dyDescent="0.3">
      <c r="A19" s="2"/>
      <c r="B19" s="5" t="s">
        <v>106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35">
      <c r="A20" s="2"/>
      <c r="B20" s="2"/>
      <c r="C20" s="8" t="s">
        <v>107</v>
      </c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35">
      <c r="A21" s="2"/>
      <c r="B21" s="2"/>
      <c r="C21" s="8" t="s">
        <v>108</v>
      </c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35">
      <c r="A22" s="2"/>
      <c r="B22" s="2"/>
      <c r="C22" s="8" t="s">
        <v>109</v>
      </c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 x14ac:dyDescent="0.25"/>
    <row r="224" spans="1:26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W1000"/>
  <sheetViews>
    <sheetView tabSelected="1" topLeftCell="A6" zoomScale="41" workbookViewId="0">
      <selection activeCell="L35" sqref="L35"/>
    </sheetView>
  </sheetViews>
  <sheetFormatPr defaultColWidth="12.6328125" defaultRowHeight="15" customHeight="1" x14ac:dyDescent="0.25"/>
  <cols>
    <col min="1" max="6" width="12.6328125" customWidth="1"/>
    <col min="7" max="7" width="13.08984375" bestFit="1" customWidth="1"/>
    <col min="8" max="10" width="13.08984375" customWidth="1"/>
  </cols>
  <sheetData>
    <row r="1" spans="1:15" ht="15.75" customHeight="1" x14ac:dyDescent="0.3">
      <c r="A1" s="3" t="s">
        <v>1</v>
      </c>
      <c r="B1" s="3" t="s">
        <v>2</v>
      </c>
      <c r="C1" s="3" t="s">
        <v>3</v>
      </c>
      <c r="D1" s="3" t="s">
        <v>4</v>
      </c>
      <c r="E1" s="3" t="s">
        <v>5</v>
      </c>
      <c r="F1" s="3" t="s">
        <v>6</v>
      </c>
      <c r="G1" s="3" t="s">
        <v>110</v>
      </c>
      <c r="H1" s="3" t="s">
        <v>111</v>
      </c>
      <c r="I1" s="3" t="s">
        <v>112</v>
      </c>
      <c r="J1" s="3" t="s">
        <v>113</v>
      </c>
    </row>
    <row r="2" spans="1:15" ht="15.75" customHeight="1" x14ac:dyDescent="0.25">
      <c r="A2" s="2" t="s">
        <v>7</v>
      </c>
      <c r="B2" s="2" t="s">
        <v>8</v>
      </c>
      <c r="C2" s="2" t="s">
        <v>9</v>
      </c>
      <c r="D2" s="4">
        <v>1000</v>
      </c>
      <c r="E2" s="4">
        <v>30</v>
      </c>
      <c r="F2" s="2" t="s">
        <v>11</v>
      </c>
      <c r="G2" t="str">
        <f>IF(D2&gt;=500,"High Price","Standard Price")</f>
        <v>High Price</v>
      </c>
      <c r="H2" s="11" t="str">
        <f>LEFT(A2,2)</f>
        <v>28</v>
      </c>
      <c r="I2" t="str">
        <f>RIGHT(A2,2)</f>
        <v>US</v>
      </c>
      <c r="J2" t="str">
        <f>MID(A2,4,3)</f>
        <v>JAN</v>
      </c>
    </row>
    <row r="3" spans="1:15" ht="15.75" customHeight="1" x14ac:dyDescent="0.3">
      <c r="A3" s="6" t="s">
        <v>12</v>
      </c>
      <c r="B3" s="6" t="s">
        <v>13</v>
      </c>
      <c r="C3" s="6" t="s">
        <v>14</v>
      </c>
      <c r="D3" s="7">
        <v>80</v>
      </c>
      <c r="E3" s="7">
        <v>15</v>
      </c>
      <c r="F3" s="6" t="s">
        <v>15</v>
      </c>
      <c r="G3" t="str">
        <f t="shared" ref="G3:G35" si="0">IF(D3&gt;=500,"High Price","Standard Price")</f>
        <v>Standard Price</v>
      </c>
      <c r="H3" s="11" t="str">
        <f t="shared" ref="H3:H35" si="1">LEFT(A3,2)</f>
        <v>15</v>
      </c>
      <c r="I3" t="str">
        <f t="shared" ref="I3:I35" si="2">RIGHT(A3,2)</f>
        <v>US</v>
      </c>
      <c r="J3" t="str">
        <f t="shared" ref="J3:J35" si="3">MID(A3,4,3)</f>
        <v>FEB</v>
      </c>
      <c r="K3" s="5" t="s">
        <v>10</v>
      </c>
      <c r="L3" s="2"/>
      <c r="M3" s="2"/>
      <c r="N3" s="2"/>
      <c r="O3" s="2"/>
    </row>
    <row r="4" spans="1:15" ht="15.75" customHeight="1" x14ac:dyDescent="0.35">
      <c r="A4" s="2" t="s">
        <v>17</v>
      </c>
      <c r="B4" s="2" t="s">
        <v>18</v>
      </c>
      <c r="C4" s="2" t="s">
        <v>19</v>
      </c>
      <c r="D4" s="4">
        <v>130</v>
      </c>
      <c r="E4" s="4">
        <v>40</v>
      </c>
      <c r="F4" s="2" t="s">
        <v>20</v>
      </c>
      <c r="G4" t="str">
        <f t="shared" si="0"/>
        <v>Standard Price</v>
      </c>
      <c r="H4" s="11" t="str">
        <f t="shared" si="1"/>
        <v>03</v>
      </c>
      <c r="I4" t="str">
        <f t="shared" si="2"/>
        <v>US</v>
      </c>
      <c r="J4" t="str">
        <f t="shared" si="3"/>
        <v>MAR</v>
      </c>
      <c r="K4" s="2"/>
      <c r="L4" s="8" t="s">
        <v>16</v>
      </c>
      <c r="M4" s="2"/>
      <c r="N4" s="2"/>
      <c r="O4" s="2"/>
    </row>
    <row r="5" spans="1:15" ht="15.75" customHeight="1" x14ac:dyDescent="0.35">
      <c r="A5" s="6" t="s">
        <v>21</v>
      </c>
      <c r="B5" s="6" t="s">
        <v>22</v>
      </c>
      <c r="C5" s="6" t="s">
        <v>23</v>
      </c>
      <c r="D5" s="7">
        <v>900</v>
      </c>
      <c r="E5" s="7">
        <v>25</v>
      </c>
      <c r="F5" s="6" t="s">
        <v>11</v>
      </c>
      <c r="G5" t="str">
        <f t="shared" si="0"/>
        <v>High Price</v>
      </c>
      <c r="H5" s="11" t="str">
        <f t="shared" si="1"/>
        <v>11</v>
      </c>
      <c r="I5" t="str">
        <f t="shared" si="2"/>
        <v>US</v>
      </c>
      <c r="J5" t="str">
        <f t="shared" si="3"/>
        <v>APR</v>
      </c>
      <c r="K5" s="8"/>
    </row>
    <row r="6" spans="1:15" ht="15.75" customHeight="1" x14ac:dyDescent="0.25">
      <c r="A6" s="2" t="s">
        <v>25</v>
      </c>
      <c r="B6" s="2" t="s">
        <v>26</v>
      </c>
      <c r="C6" s="2" t="s">
        <v>27</v>
      </c>
      <c r="D6" s="4">
        <v>70</v>
      </c>
      <c r="E6" s="4">
        <v>20</v>
      </c>
      <c r="F6" s="2" t="s">
        <v>28</v>
      </c>
      <c r="G6" t="str">
        <f t="shared" si="0"/>
        <v>Standard Price</v>
      </c>
      <c r="H6" s="11" t="str">
        <f t="shared" si="1"/>
        <v>22</v>
      </c>
      <c r="I6" t="str">
        <f t="shared" si="2"/>
        <v>US</v>
      </c>
      <c r="J6" t="str">
        <f t="shared" si="3"/>
        <v>MAY</v>
      </c>
      <c r="L6" s="9">
        <f>SUM(D2:D35)</f>
        <v>10100</v>
      </c>
    </row>
    <row r="7" spans="1:15" ht="15.75" customHeight="1" x14ac:dyDescent="0.25">
      <c r="A7" s="6" t="s">
        <v>30</v>
      </c>
      <c r="B7" s="6" t="s">
        <v>31</v>
      </c>
      <c r="C7" s="6" t="s">
        <v>32</v>
      </c>
      <c r="D7" s="7">
        <v>200</v>
      </c>
      <c r="E7" s="7">
        <v>45</v>
      </c>
      <c r="F7" s="6" t="s">
        <v>11</v>
      </c>
      <c r="G7" t="str">
        <f t="shared" si="0"/>
        <v>Standard Price</v>
      </c>
      <c r="H7" s="11" t="str">
        <f t="shared" si="1"/>
        <v>07</v>
      </c>
      <c r="I7" t="str">
        <f t="shared" si="2"/>
        <v>UK</v>
      </c>
      <c r="J7" t="str">
        <f t="shared" si="3"/>
        <v>JUN</v>
      </c>
    </row>
    <row r="8" spans="1:15" ht="15.75" customHeight="1" x14ac:dyDescent="0.35">
      <c r="A8" s="2" t="s">
        <v>33</v>
      </c>
      <c r="B8" s="2" t="s">
        <v>34</v>
      </c>
      <c r="C8" s="2" t="s">
        <v>35</v>
      </c>
      <c r="D8" s="4">
        <v>30</v>
      </c>
      <c r="E8" s="4">
        <v>5</v>
      </c>
      <c r="F8" s="2" t="s">
        <v>15</v>
      </c>
      <c r="G8" t="str">
        <f t="shared" si="0"/>
        <v>Standard Price</v>
      </c>
      <c r="H8" s="11" t="str">
        <f t="shared" si="1"/>
        <v>19</v>
      </c>
      <c r="I8" t="str">
        <f t="shared" si="2"/>
        <v>UK</v>
      </c>
      <c r="J8" t="str">
        <f t="shared" si="3"/>
        <v>JUL</v>
      </c>
      <c r="K8" s="8" t="s">
        <v>24</v>
      </c>
    </row>
    <row r="9" spans="1:15" ht="15.75" customHeight="1" x14ac:dyDescent="0.25">
      <c r="A9" s="6" t="s">
        <v>36</v>
      </c>
      <c r="B9" s="6" t="s">
        <v>37</v>
      </c>
      <c r="C9" s="6" t="s">
        <v>39</v>
      </c>
      <c r="D9" s="7">
        <v>90</v>
      </c>
      <c r="E9" s="7">
        <v>35</v>
      </c>
      <c r="F9" s="6" t="s">
        <v>20</v>
      </c>
      <c r="G9" t="str">
        <f t="shared" si="0"/>
        <v>Standard Price</v>
      </c>
      <c r="H9" s="11" t="str">
        <f t="shared" si="1"/>
        <v>23</v>
      </c>
      <c r="I9" t="str">
        <f t="shared" si="2"/>
        <v>UK</v>
      </c>
      <c r="J9" t="str">
        <f t="shared" si="3"/>
        <v>AUG</v>
      </c>
    </row>
    <row r="10" spans="1:15" ht="15.75" customHeight="1" x14ac:dyDescent="0.25">
      <c r="A10" s="2" t="s">
        <v>40</v>
      </c>
      <c r="B10" s="2" t="s">
        <v>41</v>
      </c>
      <c r="C10" s="2" t="s">
        <v>42</v>
      </c>
      <c r="D10" s="4">
        <v>500</v>
      </c>
      <c r="E10" s="4">
        <v>50</v>
      </c>
      <c r="F10" s="2" t="s">
        <v>11</v>
      </c>
      <c r="G10" t="str">
        <f t="shared" si="0"/>
        <v>High Price</v>
      </c>
      <c r="H10" s="11" t="str">
        <f t="shared" si="1"/>
        <v>05</v>
      </c>
      <c r="I10" t="str">
        <f t="shared" si="2"/>
        <v>UK</v>
      </c>
      <c r="J10" t="str">
        <f t="shared" si="3"/>
        <v>SEP</v>
      </c>
      <c r="L10">
        <f>COUNTA(B2:B35)</f>
        <v>34</v>
      </c>
    </row>
    <row r="11" spans="1:15" ht="15.75" customHeight="1" x14ac:dyDescent="0.25">
      <c r="A11" s="6" t="s">
        <v>43</v>
      </c>
      <c r="B11" s="6" t="s">
        <v>44</v>
      </c>
      <c r="C11" s="6" t="s">
        <v>45</v>
      </c>
      <c r="D11" s="7">
        <v>130</v>
      </c>
      <c r="E11" s="7">
        <v>10</v>
      </c>
      <c r="F11" s="6" t="s">
        <v>28</v>
      </c>
      <c r="G11" t="str">
        <f t="shared" si="0"/>
        <v>Standard Price</v>
      </c>
      <c r="H11" s="11" t="str">
        <f t="shared" si="1"/>
        <v>14</v>
      </c>
      <c r="I11" t="str">
        <f t="shared" si="2"/>
        <v>UK</v>
      </c>
      <c r="J11" t="str">
        <f t="shared" si="3"/>
        <v>OCT</v>
      </c>
    </row>
    <row r="12" spans="1:15" ht="15.75" customHeight="1" x14ac:dyDescent="0.25">
      <c r="A12" s="2" t="s">
        <v>46</v>
      </c>
      <c r="B12" s="2" t="s">
        <v>8</v>
      </c>
      <c r="C12" s="2" t="s">
        <v>47</v>
      </c>
      <c r="D12" s="4">
        <v>950</v>
      </c>
      <c r="E12" s="4">
        <v>25</v>
      </c>
      <c r="F12" s="2" t="s">
        <v>11</v>
      </c>
      <c r="G12" t="str">
        <f t="shared" si="0"/>
        <v>High Price</v>
      </c>
      <c r="H12" s="11" t="str">
        <f t="shared" si="1"/>
        <v>17</v>
      </c>
      <c r="I12" t="str">
        <f t="shared" si="2"/>
        <v>IN</v>
      </c>
      <c r="J12" t="str">
        <f t="shared" si="3"/>
        <v>JUN</v>
      </c>
      <c r="K12" t="s">
        <v>29</v>
      </c>
    </row>
    <row r="13" spans="1:15" ht="15.75" customHeight="1" x14ac:dyDescent="0.25">
      <c r="A13" s="6" t="s">
        <v>49</v>
      </c>
      <c r="B13" s="6" t="s">
        <v>13</v>
      </c>
      <c r="C13" s="6" t="s">
        <v>35</v>
      </c>
      <c r="D13" s="7">
        <v>90</v>
      </c>
      <c r="E13" s="7">
        <v>40</v>
      </c>
      <c r="F13" s="6" t="s">
        <v>15</v>
      </c>
      <c r="G13" t="str">
        <f t="shared" si="0"/>
        <v>Standard Price</v>
      </c>
      <c r="H13" s="11" t="str">
        <f t="shared" si="1"/>
        <v>25</v>
      </c>
      <c r="I13" t="str">
        <f t="shared" si="2"/>
        <v>AU</v>
      </c>
      <c r="J13" t="str">
        <f t="shared" si="3"/>
        <v>NOV</v>
      </c>
    </row>
    <row r="14" spans="1:15" ht="15.75" customHeight="1" x14ac:dyDescent="0.25">
      <c r="A14" s="2" t="s">
        <v>50</v>
      </c>
      <c r="B14" s="2" t="s">
        <v>18</v>
      </c>
      <c r="C14" s="2" t="s">
        <v>51</v>
      </c>
      <c r="D14" s="4">
        <v>120</v>
      </c>
      <c r="E14" s="4">
        <v>35</v>
      </c>
      <c r="F14" s="2" t="s">
        <v>20</v>
      </c>
      <c r="G14" t="str">
        <f t="shared" si="0"/>
        <v>Standard Price</v>
      </c>
      <c r="H14" s="11" t="str">
        <f t="shared" si="1"/>
        <v>08</v>
      </c>
      <c r="I14" t="str">
        <f t="shared" si="2"/>
        <v>DE</v>
      </c>
      <c r="J14" t="str">
        <f t="shared" si="3"/>
        <v>DEC</v>
      </c>
      <c r="L14" s="10">
        <f>AVERAGE(D2:D35)</f>
        <v>297.05882352941177</v>
      </c>
    </row>
    <row r="15" spans="1:15" ht="15.75" customHeight="1" x14ac:dyDescent="0.25">
      <c r="A15" s="6" t="s">
        <v>52</v>
      </c>
      <c r="B15" s="6" t="s">
        <v>53</v>
      </c>
      <c r="C15" s="6" t="s">
        <v>54</v>
      </c>
      <c r="D15" s="7">
        <v>150</v>
      </c>
      <c r="E15" s="7">
        <v>15</v>
      </c>
      <c r="F15" s="6" t="s">
        <v>11</v>
      </c>
      <c r="G15" t="str">
        <f t="shared" si="0"/>
        <v>Standard Price</v>
      </c>
      <c r="H15" s="11" t="str">
        <f t="shared" si="1"/>
        <v>18</v>
      </c>
      <c r="I15" t="str">
        <f t="shared" si="2"/>
        <v>CA</v>
      </c>
      <c r="J15" t="str">
        <f t="shared" si="3"/>
        <v>FEB</v>
      </c>
    </row>
    <row r="16" spans="1:15" ht="15.75" customHeight="1" x14ac:dyDescent="0.3">
      <c r="A16" s="2" t="s">
        <v>56</v>
      </c>
      <c r="B16" s="2" t="s">
        <v>31</v>
      </c>
      <c r="C16" s="2" t="s">
        <v>57</v>
      </c>
      <c r="D16" s="4">
        <v>250</v>
      </c>
      <c r="E16" s="4">
        <v>20</v>
      </c>
      <c r="F16" s="2" t="s">
        <v>11</v>
      </c>
      <c r="G16" t="str">
        <f t="shared" si="0"/>
        <v>Standard Price</v>
      </c>
      <c r="H16" s="11" t="str">
        <f t="shared" si="1"/>
        <v>16</v>
      </c>
      <c r="I16" t="str">
        <f t="shared" si="2"/>
        <v>ES</v>
      </c>
      <c r="J16" t="str">
        <f t="shared" si="3"/>
        <v>APR</v>
      </c>
      <c r="K16" s="5" t="s">
        <v>38</v>
      </c>
      <c r="L16" s="2"/>
      <c r="M16" s="2"/>
      <c r="N16" s="2"/>
      <c r="O16" s="2"/>
    </row>
    <row r="17" spans="1:23" ht="15.75" customHeight="1" x14ac:dyDescent="0.35">
      <c r="A17" s="6" t="s">
        <v>58</v>
      </c>
      <c r="B17" s="6" t="s">
        <v>59</v>
      </c>
      <c r="C17" s="6" t="s">
        <v>60</v>
      </c>
      <c r="D17" s="7">
        <v>50</v>
      </c>
      <c r="E17" s="7">
        <v>35</v>
      </c>
      <c r="F17" s="6" t="s">
        <v>61</v>
      </c>
      <c r="G17" t="str">
        <f t="shared" si="0"/>
        <v>Standard Price</v>
      </c>
      <c r="H17" s="11" t="str">
        <f t="shared" si="1"/>
        <v>21</v>
      </c>
      <c r="I17" t="str">
        <f t="shared" si="2"/>
        <v>CA</v>
      </c>
      <c r="J17" t="str">
        <f t="shared" si="3"/>
        <v>AUG</v>
      </c>
      <c r="K17" s="2"/>
      <c r="L17" s="8" t="s">
        <v>48</v>
      </c>
      <c r="M17" s="2"/>
      <c r="N17" s="2"/>
      <c r="O17" s="2"/>
    </row>
    <row r="18" spans="1:23" ht="15.75" customHeight="1" x14ac:dyDescent="0.25">
      <c r="A18" s="2" t="s">
        <v>62</v>
      </c>
      <c r="B18" s="2" t="s">
        <v>53</v>
      </c>
      <c r="C18" s="2" t="s">
        <v>63</v>
      </c>
      <c r="D18" s="4">
        <v>160</v>
      </c>
      <c r="E18" s="4">
        <v>15</v>
      </c>
      <c r="F18" s="2" t="s">
        <v>11</v>
      </c>
      <c r="G18" t="str">
        <f t="shared" si="0"/>
        <v>Standard Price</v>
      </c>
      <c r="H18" s="11" t="str">
        <f t="shared" si="1"/>
        <v>20</v>
      </c>
      <c r="I18" t="str">
        <f t="shared" si="2"/>
        <v>CN</v>
      </c>
      <c r="J18" t="str">
        <f t="shared" si="3"/>
        <v>AUG</v>
      </c>
    </row>
    <row r="19" spans="1:23" ht="15.75" customHeight="1" x14ac:dyDescent="0.25">
      <c r="A19" s="6" t="s">
        <v>64</v>
      </c>
      <c r="B19" s="6" t="s">
        <v>8</v>
      </c>
      <c r="C19" s="6" t="s">
        <v>65</v>
      </c>
      <c r="D19" s="7">
        <v>980</v>
      </c>
      <c r="E19" s="7">
        <v>10</v>
      </c>
      <c r="F19" s="6" t="s">
        <v>11</v>
      </c>
      <c r="G19" t="str">
        <f t="shared" si="0"/>
        <v>High Price</v>
      </c>
      <c r="H19" s="11" t="str">
        <f t="shared" si="1"/>
        <v>27</v>
      </c>
      <c r="I19" t="str">
        <f t="shared" si="2"/>
        <v>IT</v>
      </c>
      <c r="J19" t="str">
        <f t="shared" si="3"/>
        <v>JAN</v>
      </c>
      <c r="L19">
        <f>MIN(D2:D35)</f>
        <v>30</v>
      </c>
    </row>
    <row r="20" spans="1:23" ht="15.75" customHeight="1" x14ac:dyDescent="0.25">
      <c r="A20" s="2" t="s">
        <v>66</v>
      </c>
      <c r="B20" s="2" t="s">
        <v>67</v>
      </c>
      <c r="C20" s="2" t="s">
        <v>68</v>
      </c>
      <c r="D20" s="4">
        <v>150</v>
      </c>
      <c r="E20" s="4">
        <v>15</v>
      </c>
      <c r="F20" s="2" t="s">
        <v>15</v>
      </c>
      <c r="G20" t="str">
        <f t="shared" si="0"/>
        <v>Standard Price</v>
      </c>
      <c r="H20" s="11" t="str">
        <f t="shared" si="1"/>
        <v>01</v>
      </c>
      <c r="I20" t="str">
        <f t="shared" si="2"/>
        <v>UK</v>
      </c>
      <c r="J20" t="str">
        <f t="shared" si="3"/>
        <v>MAR</v>
      </c>
    </row>
    <row r="21" spans="1:23" ht="15.75" customHeight="1" x14ac:dyDescent="0.35">
      <c r="A21" s="6" t="s">
        <v>69</v>
      </c>
      <c r="B21" s="6" t="s">
        <v>70</v>
      </c>
      <c r="C21" s="6" t="s">
        <v>71</v>
      </c>
      <c r="D21" s="7">
        <v>200</v>
      </c>
      <c r="E21" s="7">
        <v>10</v>
      </c>
      <c r="F21" s="6" t="s">
        <v>28</v>
      </c>
      <c r="G21" t="str">
        <f t="shared" si="0"/>
        <v>Standard Price</v>
      </c>
      <c r="H21" s="11" t="str">
        <f t="shared" si="1"/>
        <v>14</v>
      </c>
      <c r="I21" t="str">
        <f t="shared" si="2"/>
        <v>US</v>
      </c>
      <c r="J21" t="str">
        <f t="shared" si="3"/>
        <v>AUG</v>
      </c>
      <c r="K21" s="8" t="s">
        <v>55</v>
      </c>
      <c r="L21" s="2"/>
      <c r="M21" s="2"/>
      <c r="N21" s="2"/>
    </row>
    <row r="22" spans="1:23" ht="15.75" customHeight="1" x14ac:dyDescent="0.25">
      <c r="A22" s="2" t="s">
        <v>72</v>
      </c>
      <c r="B22" s="2" t="s">
        <v>73</v>
      </c>
      <c r="C22" s="2" t="s">
        <v>74</v>
      </c>
      <c r="D22" s="4">
        <v>700</v>
      </c>
      <c r="E22" s="4">
        <v>50</v>
      </c>
      <c r="F22" s="2" t="s">
        <v>11</v>
      </c>
      <c r="G22" t="str">
        <f t="shared" si="0"/>
        <v>High Price</v>
      </c>
      <c r="H22" s="11" t="str">
        <f t="shared" si="1"/>
        <v>14</v>
      </c>
      <c r="I22" t="str">
        <f t="shared" si="2"/>
        <v>RU</v>
      </c>
      <c r="J22" t="str">
        <f t="shared" si="3"/>
        <v>MAY</v>
      </c>
    </row>
    <row r="23" spans="1:23" ht="15.75" customHeight="1" x14ac:dyDescent="0.25">
      <c r="A23" s="6" t="s">
        <v>76</v>
      </c>
      <c r="B23" s="6" t="s">
        <v>77</v>
      </c>
      <c r="C23" s="6" t="s">
        <v>78</v>
      </c>
      <c r="D23" s="7">
        <v>80</v>
      </c>
      <c r="E23" s="7">
        <v>20</v>
      </c>
      <c r="F23" s="6" t="s">
        <v>20</v>
      </c>
      <c r="G23" t="str">
        <f t="shared" si="0"/>
        <v>Standard Price</v>
      </c>
      <c r="H23" s="11" t="str">
        <f t="shared" si="1"/>
        <v>09</v>
      </c>
      <c r="I23" t="str">
        <f t="shared" si="2"/>
        <v>CA</v>
      </c>
      <c r="J23" t="str">
        <f t="shared" si="3"/>
        <v>JAN</v>
      </c>
      <c r="L23">
        <f>MAX(D2:D35)</f>
        <v>1000</v>
      </c>
    </row>
    <row r="24" spans="1:23" ht="15.75" customHeight="1" x14ac:dyDescent="0.25">
      <c r="A24" s="2" t="s">
        <v>79</v>
      </c>
      <c r="B24" s="2" t="s">
        <v>80</v>
      </c>
      <c r="C24" s="2" t="s">
        <v>81</v>
      </c>
      <c r="D24" s="4">
        <v>150</v>
      </c>
      <c r="E24" s="4">
        <v>30</v>
      </c>
      <c r="F24" s="2" t="s">
        <v>11</v>
      </c>
      <c r="G24" t="str">
        <f t="shared" si="0"/>
        <v>Standard Price</v>
      </c>
      <c r="H24" s="11" t="str">
        <f t="shared" si="1"/>
        <v>19</v>
      </c>
      <c r="I24" t="str">
        <f t="shared" si="2"/>
        <v>BR</v>
      </c>
      <c r="J24" t="str">
        <f t="shared" si="3"/>
        <v>JUL</v>
      </c>
    </row>
    <row r="25" spans="1:23" ht="15.75" customHeight="1" x14ac:dyDescent="0.3">
      <c r="A25" s="6" t="s">
        <v>58</v>
      </c>
      <c r="B25" s="6" t="s">
        <v>59</v>
      </c>
      <c r="C25" s="6" t="s">
        <v>60</v>
      </c>
      <c r="D25" s="7">
        <v>50</v>
      </c>
      <c r="E25" s="7">
        <v>35</v>
      </c>
      <c r="F25" s="6" t="s">
        <v>61</v>
      </c>
      <c r="G25" t="str">
        <f t="shared" si="0"/>
        <v>Standard Price</v>
      </c>
      <c r="H25" s="11" t="str">
        <f t="shared" si="1"/>
        <v>21</v>
      </c>
      <c r="I25" t="str">
        <f t="shared" si="2"/>
        <v>CA</v>
      </c>
      <c r="J25" t="str">
        <f t="shared" si="3"/>
        <v>AUG</v>
      </c>
      <c r="K25" s="5" t="s">
        <v>75</v>
      </c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</row>
    <row r="26" spans="1:23" ht="15.75" customHeight="1" x14ac:dyDescent="0.35">
      <c r="A26" s="2" t="s">
        <v>82</v>
      </c>
      <c r="B26" s="2" t="s">
        <v>22</v>
      </c>
      <c r="C26" s="2" t="s">
        <v>84</v>
      </c>
      <c r="D26" s="4">
        <v>800</v>
      </c>
      <c r="E26" s="4">
        <v>45</v>
      </c>
      <c r="F26" s="2" t="s">
        <v>11</v>
      </c>
      <c r="G26" t="str">
        <f t="shared" si="0"/>
        <v>High Price</v>
      </c>
      <c r="H26" s="11" t="str">
        <f t="shared" si="1"/>
        <v>29</v>
      </c>
      <c r="I26" t="str">
        <f t="shared" si="2"/>
        <v>CA</v>
      </c>
      <c r="J26" t="str">
        <f t="shared" si="3"/>
        <v>SEP</v>
      </c>
      <c r="K26" s="2"/>
      <c r="L26" s="8" t="s">
        <v>83</v>
      </c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</row>
    <row r="27" spans="1:23" ht="15.75" customHeight="1" x14ac:dyDescent="0.25">
      <c r="A27" s="6" t="s">
        <v>85</v>
      </c>
      <c r="B27" s="6" t="s">
        <v>67</v>
      </c>
      <c r="C27" s="6" t="s">
        <v>86</v>
      </c>
      <c r="D27" s="7">
        <v>130</v>
      </c>
      <c r="E27" s="7">
        <v>25</v>
      </c>
      <c r="F27" s="6" t="s">
        <v>15</v>
      </c>
      <c r="G27" t="str">
        <f t="shared" si="0"/>
        <v>Standard Price</v>
      </c>
      <c r="H27" s="11" t="str">
        <f t="shared" si="1"/>
        <v>03</v>
      </c>
      <c r="I27" t="str">
        <f t="shared" si="2"/>
        <v>CA</v>
      </c>
      <c r="J27" t="str">
        <f t="shared" si="3"/>
        <v>JUN</v>
      </c>
    </row>
    <row r="28" spans="1:23" ht="15.75" customHeight="1" x14ac:dyDescent="0.3">
      <c r="A28" s="2" t="s">
        <v>87</v>
      </c>
      <c r="B28" s="2" t="s">
        <v>37</v>
      </c>
      <c r="C28" s="2" t="s">
        <v>88</v>
      </c>
      <c r="D28" s="4">
        <v>400</v>
      </c>
      <c r="E28" s="4">
        <v>40</v>
      </c>
      <c r="F28" s="2" t="s">
        <v>20</v>
      </c>
      <c r="G28" t="str">
        <f t="shared" si="0"/>
        <v>Standard Price</v>
      </c>
      <c r="H28" s="11" t="str">
        <f t="shared" si="1"/>
        <v>11</v>
      </c>
      <c r="I28" t="str">
        <f t="shared" si="2"/>
        <v>CA</v>
      </c>
      <c r="J28" t="str">
        <f t="shared" si="3"/>
        <v>JUL</v>
      </c>
      <c r="K28" s="5" t="s">
        <v>97</v>
      </c>
      <c r="L28" s="2"/>
      <c r="M28" s="2"/>
      <c r="N28" s="2"/>
      <c r="O28" s="2"/>
      <c r="P28" s="2"/>
      <c r="Q28" s="2"/>
      <c r="R28" s="2"/>
    </row>
    <row r="29" spans="1:23" ht="15.75" customHeight="1" x14ac:dyDescent="0.35">
      <c r="A29" s="6" t="s">
        <v>56</v>
      </c>
      <c r="B29" s="6" t="s">
        <v>31</v>
      </c>
      <c r="C29" s="6" t="s">
        <v>57</v>
      </c>
      <c r="D29" s="7">
        <v>230</v>
      </c>
      <c r="E29" s="7">
        <v>20</v>
      </c>
      <c r="F29" s="6" t="s">
        <v>11</v>
      </c>
      <c r="G29" t="str">
        <f t="shared" si="0"/>
        <v>Standard Price</v>
      </c>
      <c r="H29" s="11" t="str">
        <f t="shared" si="1"/>
        <v>16</v>
      </c>
      <c r="I29" t="str">
        <f t="shared" si="2"/>
        <v>ES</v>
      </c>
      <c r="J29" t="str">
        <f t="shared" si="3"/>
        <v>APR</v>
      </c>
      <c r="K29" s="2"/>
      <c r="L29" s="8" t="s">
        <v>104</v>
      </c>
      <c r="M29" s="2"/>
      <c r="N29" s="2"/>
      <c r="O29" s="2"/>
      <c r="P29" s="2"/>
      <c r="Q29" s="2"/>
      <c r="R29" s="2"/>
    </row>
    <row r="30" spans="1:23" ht="15.75" customHeight="1" x14ac:dyDescent="0.25">
      <c r="A30" s="2" t="s">
        <v>89</v>
      </c>
      <c r="B30" s="2" t="s">
        <v>90</v>
      </c>
      <c r="C30" s="2" t="s">
        <v>91</v>
      </c>
      <c r="D30" s="4">
        <v>60</v>
      </c>
      <c r="E30" s="4">
        <v>30</v>
      </c>
      <c r="F30" s="2" t="s">
        <v>15</v>
      </c>
      <c r="G30" t="str">
        <f t="shared" si="0"/>
        <v>Standard Price</v>
      </c>
      <c r="H30" s="11" t="str">
        <f t="shared" si="1"/>
        <v>07</v>
      </c>
      <c r="I30" t="str">
        <f t="shared" si="2"/>
        <v>CA</v>
      </c>
      <c r="J30" t="str">
        <f t="shared" si="3"/>
        <v>MAR</v>
      </c>
    </row>
    <row r="31" spans="1:23" ht="15.75" customHeight="1" x14ac:dyDescent="0.25">
      <c r="A31" s="6" t="s">
        <v>92</v>
      </c>
      <c r="B31" s="6" t="s">
        <v>93</v>
      </c>
      <c r="C31" s="6" t="s">
        <v>94</v>
      </c>
      <c r="D31" s="7">
        <v>40</v>
      </c>
      <c r="E31" s="7">
        <v>10</v>
      </c>
      <c r="F31" s="6" t="s">
        <v>20</v>
      </c>
      <c r="G31" t="str">
        <f t="shared" si="0"/>
        <v>Standard Price</v>
      </c>
      <c r="H31" s="11" t="str">
        <f t="shared" si="1"/>
        <v>13</v>
      </c>
      <c r="I31" t="str">
        <f t="shared" si="2"/>
        <v>CA</v>
      </c>
      <c r="J31" t="str">
        <f t="shared" si="3"/>
        <v>APR</v>
      </c>
      <c r="L31">
        <f>SUMIF(F2:F35,F12,D2:D35)</f>
        <v>8050</v>
      </c>
    </row>
    <row r="32" spans="1:23" ht="15.75" customHeight="1" x14ac:dyDescent="0.25">
      <c r="A32" s="2" t="s">
        <v>95</v>
      </c>
      <c r="B32" s="2" t="s">
        <v>80</v>
      </c>
      <c r="C32" s="2" t="s">
        <v>96</v>
      </c>
      <c r="D32" s="4">
        <v>130</v>
      </c>
      <c r="E32" s="4">
        <v>5</v>
      </c>
      <c r="F32" s="2" t="s">
        <v>11</v>
      </c>
      <c r="G32" t="str">
        <f t="shared" si="0"/>
        <v>Standard Price</v>
      </c>
      <c r="H32" s="11" t="str">
        <f t="shared" si="1"/>
        <v>24</v>
      </c>
      <c r="I32" t="str">
        <f t="shared" si="2"/>
        <v>CA</v>
      </c>
      <c r="J32" t="str">
        <f t="shared" si="3"/>
        <v>MAY</v>
      </c>
    </row>
    <row r="33" spans="1:21" ht="15.75" customHeight="1" x14ac:dyDescent="0.35">
      <c r="A33" s="6" t="s">
        <v>98</v>
      </c>
      <c r="B33" s="6" t="s">
        <v>99</v>
      </c>
      <c r="C33" s="6" t="s">
        <v>100</v>
      </c>
      <c r="D33" s="7">
        <v>50</v>
      </c>
      <c r="E33" s="7">
        <v>50</v>
      </c>
      <c r="F33" s="6" t="s">
        <v>15</v>
      </c>
      <c r="G33" t="str">
        <f t="shared" si="0"/>
        <v>Standard Price</v>
      </c>
      <c r="H33" s="11" t="str">
        <f t="shared" si="1"/>
        <v>02</v>
      </c>
      <c r="I33" t="str">
        <f t="shared" si="2"/>
        <v>CA</v>
      </c>
      <c r="J33" t="str">
        <f t="shared" si="3"/>
        <v>DEC</v>
      </c>
      <c r="L33" s="8" t="s">
        <v>105</v>
      </c>
      <c r="M33" s="2"/>
      <c r="N33" s="2"/>
      <c r="O33" s="2"/>
      <c r="P33" s="2"/>
      <c r="Q33" s="2"/>
      <c r="R33" s="2"/>
    </row>
    <row r="34" spans="1:21" ht="15.75" customHeight="1" x14ac:dyDescent="0.25">
      <c r="A34" s="2" t="s">
        <v>46</v>
      </c>
      <c r="B34" s="2" t="s">
        <v>8</v>
      </c>
      <c r="C34" s="2" t="s">
        <v>47</v>
      </c>
      <c r="D34" s="4">
        <v>950</v>
      </c>
      <c r="E34" s="4">
        <v>25</v>
      </c>
      <c r="F34" s="2" t="s">
        <v>11</v>
      </c>
      <c r="G34" t="str">
        <f t="shared" si="0"/>
        <v>High Price</v>
      </c>
      <c r="H34" s="11" t="str">
        <f t="shared" si="1"/>
        <v>17</v>
      </c>
      <c r="I34" t="str">
        <f t="shared" si="2"/>
        <v>IN</v>
      </c>
      <c r="J34" t="str">
        <f t="shared" si="3"/>
        <v>JUN</v>
      </c>
    </row>
    <row r="35" spans="1:21" ht="15.75" customHeight="1" x14ac:dyDescent="0.25">
      <c r="A35" s="6" t="s">
        <v>101</v>
      </c>
      <c r="B35" s="6" t="s">
        <v>102</v>
      </c>
      <c r="C35" s="6" t="s">
        <v>103</v>
      </c>
      <c r="D35" s="7">
        <v>100</v>
      </c>
      <c r="E35" s="7">
        <v>20</v>
      </c>
      <c r="F35" s="6" t="s">
        <v>61</v>
      </c>
      <c r="G35" t="str">
        <f t="shared" si="0"/>
        <v>Standard Price</v>
      </c>
      <c r="H35" s="11" t="str">
        <f t="shared" si="1"/>
        <v>09</v>
      </c>
      <c r="I35" t="str">
        <f t="shared" si="2"/>
        <v>FR</v>
      </c>
      <c r="J35" t="str">
        <f t="shared" si="3"/>
        <v>JUL</v>
      </c>
      <c r="L35">
        <f>COUNTIF(D2:D35,"&lt;100")</f>
        <v>11</v>
      </c>
    </row>
    <row r="36" spans="1:21" ht="15.75" customHeight="1" x14ac:dyDescent="0.25"/>
    <row r="37" spans="1:21" ht="15.75" customHeight="1" x14ac:dyDescent="0.3">
      <c r="K37" s="5" t="s">
        <v>106</v>
      </c>
      <c r="L37" s="2"/>
      <c r="M37" s="2"/>
      <c r="N37" s="2"/>
      <c r="O37" s="2"/>
      <c r="P37" s="2"/>
      <c r="Q37" s="2"/>
      <c r="R37" s="2"/>
      <c r="S37" s="2"/>
    </row>
    <row r="38" spans="1:21" ht="15.75" customHeight="1" x14ac:dyDescent="0.35">
      <c r="K38" s="2"/>
      <c r="L38" s="8" t="s">
        <v>107</v>
      </c>
      <c r="M38" s="2"/>
      <c r="N38" s="2"/>
      <c r="O38" s="2"/>
      <c r="P38" s="2"/>
      <c r="Q38" s="2"/>
      <c r="R38" s="2"/>
      <c r="S38" s="2"/>
    </row>
    <row r="39" spans="1:21" ht="15.75" customHeight="1" x14ac:dyDescent="0.35">
      <c r="L39" s="8" t="s">
        <v>108</v>
      </c>
      <c r="M39" s="2"/>
      <c r="N39" s="2"/>
      <c r="O39" s="2"/>
      <c r="P39" s="2"/>
      <c r="Q39" s="2"/>
      <c r="R39" s="2"/>
      <c r="S39" s="2"/>
      <c r="T39" s="2"/>
      <c r="U39" s="2"/>
    </row>
    <row r="40" spans="1:21" ht="15.75" customHeight="1" x14ac:dyDescent="0.35">
      <c r="L40" s="8" t="s">
        <v>109</v>
      </c>
      <c r="M40" s="2"/>
      <c r="N40" s="2"/>
      <c r="O40" s="2"/>
      <c r="P40" s="2"/>
      <c r="Q40" s="2"/>
      <c r="R40" s="2"/>
      <c r="S40" s="2"/>
      <c r="T40" s="2"/>
      <c r="U40" s="2"/>
    </row>
    <row r="41" spans="1:21" ht="15.75" customHeight="1" x14ac:dyDescent="0.25"/>
    <row r="42" spans="1:21" ht="15.75" customHeight="1" x14ac:dyDescent="0.25"/>
    <row r="43" spans="1:21" ht="15.75" customHeight="1" x14ac:dyDescent="0.25"/>
    <row r="44" spans="1:21" ht="15.75" customHeight="1" x14ac:dyDescent="0.25"/>
    <row r="45" spans="1:21" ht="15.75" customHeight="1" x14ac:dyDescent="0.25"/>
    <row r="46" spans="1:21" ht="15.75" customHeight="1" x14ac:dyDescent="0.25"/>
    <row r="47" spans="1:21" ht="15.75" customHeight="1" x14ac:dyDescent="0.25"/>
    <row r="48" spans="1:21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JINKAMOOTHI Govardhan</cp:lastModifiedBy>
  <dcterms:modified xsi:type="dcterms:W3CDTF">2026-09-13T16:40:05Z</dcterms:modified>
</cp:coreProperties>
</file>